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funds_CB\testing\"/>
    </mc:Choice>
  </mc:AlternateContent>
  <xr:revisionPtr revIDLastSave="0" documentId="8_{6797CF4C-EF1D-4D7E-83FE-A414AD6B9871}" xr6:coauthVersionLast="47" xr6:coauthVersionMax="47" xr10:uidLastSave="{00000000-0000-0000-0000-000000000000}"/>
  <bookViews>
    <workbookView xWindow="-110" yWindow="-110" windowWidth="19420" windowHeight="11500" xr2:uid="{6117A310-30E4-49E6-94C3-277DCDDAFD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J16" i="1" s="1"/>
  <c r="I22" i="1"/>
  <c r="J22" i="1" s="1"/>
  <c r="I14" i="1"/>
  <c r="J14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5" i="1"/>
  <c r="J15" i="1" s="1"/>
  <c r="I17" i="1"/>
  <c r="J17" i="1" s="1"/>
  <c r="I18" i="1"/>
  <c r="J18" i="1" s="1"/>
  <c r="I19" i="1"/>
  <c r="J19" i="1" s="1"/>
  <c r="I20" i="1"/>
  <c r="J20" i="1" s="1"/>
  <c r="I21" i="1"/>
  <c r="J21" i="1" s="1"/>
  <c r="J23" i="1" l="1"/>
</calcChain>
</file>

<file path=xl/sharedStrings.xml><?xml version="1.0" encoding="utf-8"?>
<sst xmlns="http://schemas.openxmlformats.org/spreadsheetml/2006/main" count="81" uniqueCount="52">
  <si>
    <t>Concepto</t>
  </si>
  <si>
    <t>Referencia</t>
  </si>
  <si>
    <t>Puerta block Olmo</t>
  </si>
  <si>
    <t>Apertura</t>
  </si>
  <si>
    <t>Derecha</t>
  </si>
  <si>
    <t>Izquierda</t>
  </si>
  <si>
    <t>Unidades</t>
  </si>
  <si>
    <t>Kit molduras ala 10</t>
  </si>
  <si>
    <t>-</t>
  </si>
  <si>
    <t>Puertas izqda</t>
  </si>
  <si>
    <t>Noa, David, Baño niños, Dormitorio principal</t>
  </si>
  <si>
    <t>Puerta dcha</t>
  </si>
  <si>
    <t xml:space="preserve">Perf transicion alu toronto </t>
  </si>
  <si>
    <t>Perf desnivel alu toronto</t>
  </si>
  <si>
    <t>Rodapie toronto</t>
  </si>
  <si>
    <t>Medidas</t>
  </si>
  <si>
    <t>0,9M</t>
  </si>
  <si>
    <t>2400x80x15MM</t>
  </si>
  <si>
    <t>Suelo laminado toronto</t>
  </si>
  <si>
    <t>1,81M2</t>
  </si>
  <si>
    <t>Rollo base</t>
  </si>
  <si>
    <t>30M2</t>
  </si>
  <si>
    <t>62,5 - 72,5 - 82,5</t>
  </si>
  <si>
    <t>Premarco kit?</t>
  </si>
  <si>
    <t>Mueble baño indo azul</t>
  </si>
  <si>
    <t>80 cm</t>
  </si>
  <si>
    <t>Encimera extraplana</t>
  </si>
  <si>
    <t>80x48</t>
  </si>
  <si>
    <t>Pack WC Formentera Teka</t>
  </si>
  <si>
    <t>Monomando lavabo Inca</t>
  </si>
  <si>
    <t>Valv lavabo Laton</t>
  </si>
  <si>
    <t>Sifon extensible dual</t>
  </si>
  <si>
    <t>Manguito wc extensible</t>
  </si>
  <si>
    <t>Enlace tuera loca</t>
  </si>
  <si>
    <t>Baño nuestro, despacho Cris</t>
  </si>
  <si>
    <t>Total</t>
  </si>
  <si>
    <t>Porcelana Venato 75x75</t>
  </si>
  <si>
    <t>1,13M2</t>
  </si>
  <si>
    <t>PLANTA SUPERIOR M2</t>
  </si>
  <si>
    <t>BAÑO</t>
  </si>
  <si>
    <t>Material ya comprado</t>
  </si>
  <si>
    <t>Diferencia</t>
  </si>
  <si>
    <t>Importe anterior</t>
  </si>
  <si>
    <t>Importe nuevo</t>
  </si>
  <si>
    <t>URL</t>
  </si>
  <si>
    <t>https://www.obramat.es/productos/puerta-interior-en-block-vinilo-olmo-lisa-72-5-cm-derecha-10696490.html?srsltid=AfmBOoqxix8m774WShGrhBoXM1shMT6WfPTnVir75cpe5F6EzNcdo57-</t>
  </si>
  <si>
    <t>https://www.obramat.es/productos/puerta-interior-en-block-vinilo-olmo-lisa-72-5-cm-izquierda-10696504.html?srsltid=AfmBOopU2gHwCJKolW1iNWF8XZYXgmZSNnDlC7Fdt-WDFpeoMVsZYu_p</t>
  </si>
  <si>
    <t>https://www.obramat.es/productos/kit-molduras-vinilo-olmo-ala-10-10696784.html?srsltid=AfmBOoqoTOFzdBbKKAXgAcXtPnjbMI8yAs8xhayY9dNw8sLTrc5yQJyQ</t>
  </si>
  <si>
    <t>https://www.obramat.es/productos/cerco-de-obra-tabique-7-cm-10158575.html?srsltid=AfmBOopwIZylDH1bpghtG_09e759GH4dOG4V-kZM7ulKPBkk7yVsHhrt</t>
  </si>
  <si>
    <t>Porcelanico Venato 120x60</t>
  </si>
  <si>
    <t>Monomando lavabo Tibet</t>
  </si>
  <si>
    <t>120x160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</si>
</sst>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NumberFormat="1"/>
  </cellXfs>
  <cellStyles count="2">
    <cellStyle name="Hipervínculo" xfId="1" builtinId="8"/>
    <cellStyle name="Normal" xfId="0" builtinId="0"/>
  </cellStyles>
  <dxfs count="5">
    <dxf>
      <numFmt numFmtId="164" formatCode="#,##0.00\ &quot;€&quot;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DAD87-698B-42C8-BEED-3CC4BA02A6C5}" name="Tabla1" displayName="Tabla1" ref="A1:K23" totalsRowCount="1">
  <autoFilter ref="A1:K22" xr:uid="{75ADAD87-698B-42C8-BEED-3CC4BA02A6C5}"/>
  <tableColumns count="11">
    <tableColumn id="1" xr3:uid="{E155A351-F3FC-4481-9DC1-378B3D275CBB}" name="Concepto" totalsRowLabel="Total"/>
    <tableColumn id="2" xr3:uid="{734D3513-6DCD-4A2E-B23E-73B3F17EA6C6}" name="Medidas"/>
    <tableColumn id="3" xr3:uid="{B826FBC7-F84C-45A9-83F7-6FF43A6FBD02}" name="Apertura"/>
    <tableColumn id="4" xr3:uid="{B1190F88-91EA-4253-8B93-C47230FEE1CA}" name="Referencia"/>
    <tableColumn id="5" xr3:uid="{4F271379-3181-4C54-B52B-5563C8D6AAE9}" name="Importe anterior" dataDxfId="4"/>
    <tableColumn id="11" xr3:uid="{020CB12B-0BC9-4EDC-82E2-DFDAF4432C7A}" name="Importe nuevo" dataDxfId="3"/>
    <tableColumn id="6" xr3:uid="{54C2D686-8383-46CB-8FCE-B562B67ED22B}" name="Unidades"/>
    <tableColumn id="9" xr3:uid="{D9AD1E0F-623A-4FFA-BA29-D01739DEB626}" name="Material ya comprado"/>
    <tableColumn id="10" xr3:uid="{786A96C8-0A9C-4B78-BD70-8A860304DEA2}" name="Diferencia" dataDxfId="2">
      <calculatedColumnFormula>Tabla1[[#This Row],[Unidades]]-Tabla1[[#This Row],[Material ya comprado]]</calculatedColumnFormula>
    </tableColumn>
    <tableColumn id="7" xr3:uid="{F5083C4E-C3D6-4B4D-9206-BCC219821DB2}" name="Total" totalsRowFunction="sum" dataDxfId="1" totalsRowDxfId="0">
      <calculatedColumnFormula>F2*Tabla1[[#This Row],[Diferencia]]</calculatedColumnFormula>
    </tableColumn>
    <tableColumn id="12" xr3:uid="{AE487EA2-24F9-4C95-A907-2637547508A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bramat.es/productos/kit-molduras-vinilo-olmo-ala-10-10696784.html?srsltid=AfmBOoqoTOFzdBbKKAXgAcXtPnjbMI8yAs8xhayY9dNw8sLTrc5yQJyQ" TargetMode="External"/><Relationship Id="rId2" Type="http://schemas.openxmlformats.org/officeDocument/2006/relationships/hyperlink" Target="https://www.obramat.es/productos/puerta-interior-en-block-vinilo-olmo-lisa-72-5-cm-izquierda-10696504.html?srsltid=AfmBOopU2gHwCJKolW1iNWF8XZYXgmZSNnDlC7Fdt-WDFpeoMVsZYu_p" TargetMode="External"/><Relationship Id="rId1" Type="http://schemas.openxmlformats.org/officeDocument/2006/relationships/hyperlink" Target="https://www.obramat.es/productos/puerta-interior-en-block-vinilo-olmo-lisa-72-5-cm-derecha-10696490.html?srsltid=AfmBOoqxix8m774WShGrhBoXM1shMT6WfPTnVir75cpe5F6EzNcdo57-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obramat.es/productos/cerco-de-obra-tabique-7-cm-10158575.html?srsltid=AfmBOopwIZylDH1bpghtG_09e759GH4dOG4V-kZM7ulKPBkk7yVsHh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3319-F090-4C01-B3B6-6752777CF063}">
  <dimension ref="A1:K42"/>
  <sheetViews>
    <sheetView tabSelected="1" workbookViewId="0">
      <selection activeCell="J22" sqref="J22"/>
    </sheetView>
  </sheetViews>
  <sheetFormatPr baseColWidth="10" defaultRowHeight="14.5" x14ac:dyDescent="0.35"/>
  <cols>
    <col min="1" max="1" width="23.54296875" bestFit="1" customWidth="1"/>
    <col min="2" max="2" width="15.1796875" customWidth="1"/>
    <col min="4" max="4" width="12.6328125" bestFit="1" customWidth="1"/>
    <col min="5" max="5" width="17.26953125" bestFit="1" customWidth="1"/>
    <col min="6" max="6" width="15.81640625" bestFit="1" customWidth="1"/>
    <col min="7" max="7" width="11.26953125" bestFit="1" customWidth="1"/>
    <col min="8" max="8" width="21.6328125" bestFit="1" customWidth="1"/>
    <col min="9" max="9" width="21.6328125" customWidth="1"/>
    <col min="11" max="11" width="66.26953125" customWidth="1"/>
  </cols>
  <sheetData>
    <row r="1" spans="1:11" x14ac:dyDescent="0.35">
      <c r="A1" t="s">
        <v>0</v>
      </c>
      <c r="B1" t="s">
        <v>15</v>
      </c>
      <c r="C1" t="s">
        <v>3</v>
      </c>
      <c r="D1" t="s">
        <v>1</v>
      </c>
      <c r="E1" t="s">
        <v>42</v>
      </c>
      <c r="F1" t="s">
        <v>43</v>
      </c>
      <c r="G1" t="s">
        <v>6</v>
      </c>
      <c r="H1" t="s">
        <v>40</v>
      </c>
      <c r="I1" t="s">
        <v>41</v>
      </c>
      <c r="J1" t="s">
        <v>35</v>
      </c>
      <c r="K1" t="s">
        <v>44</v>
      </c>
    </row>
    <row r="2" spans="1:11" x14ac:dyDescent="0.35">
      <c r="A2" t="s">
        <v>2</v>
      </c>
      <c r="B2">
        <v>72.5</v>
      </c>
      <c r="C2" t="s">
        <v>4</v>
      </c>
      <c r="D2">
        <v>10696490</v>
      </c>
      <c r="E2" s="1">
        <v>109</v>
      </c>
      <c r="F2" s="1">
        <v>129</v>
      </c>
      <c r="G2">
        <v>2</v>
      </c>
      <c r="H2">
        <v>1</v>
      </c>
      <c r="I2">
        <f>Tabla1[[#This Row],[Unidades]]-Tabla1[[#This Row],[Material ya comprado]]</f>
        <v>1</v>
      </c>
      <c r="J2" s="1">
        <f>F2*Tabla1[[#This Row],[Diferencia]]</f>
        <v>129</v>
      </c>
      <c r="K2" s="2" t="s">
        <v>45</v>
      </c>
    </row>
    <row r="3" spans="1:11" x14ac:dyDescent="0.35">
      <c r="A3" t="s">
        <v>2</v>
      </c>
      <c r="B3">
        <v>72.5</v>
      </c>
      <c r="C3" t="s">
        <v>5</v>
      </c>
      <c r="D3">
        <v>10696504</v>
      </c>
      <c r="E3" s="1">
        <v>109</v>
      </c>
      <c r="F3" s="1">
        <v>129</v>
      </c>
      <c r="G3">
        <v>4</v>
      </c>
      <c r="H3">
        <v>1</v>
      </c>
      <c r="I3">
        <f>Tabla1[[#This Row],[Unidades]]-Tabla1[[#This Row],[Material ya comprado]]</f>
        <v>3</v>
      </c>
      <c r="J3" s="1">
        <f>F3*Tabla1[[#This Row],[Diferencia]]</f>
        <v>387</v>
      </c>
      <c r="K3" s="2" t="s">
        <v>46</v>
      </c>
    </row>
    <row r="4" spans="1:11" x14ac:dyDescent="0.35">
      <c r="A4" t="s">
        <v>7</v>
      </c>
      <c r="B4" t="s">
        <v>8</v>
      </c>
      <c r="C4" t="s">
        <v>8</v>
      </c>
      <c r="D4">
        <v>10696784</v>
      </c>
      <c r="E4" s="1">
        <v>27</v>
      </c>
      <c r="F4" s="1">
        <v>38</v>
      </c>
      <c r="G4">
        <v>6</v>
      </c>
      <c r="H4">
        <v>2</v>
      </c>
      <c r="I4">
        <f>Tabla1[[#This Row],[Unidades]]-Tabla1[[#This Row],[Material ya comprado]]</f>
        <v>4</v>
      </c>
      <c r="J4" s="1">
        <f>F4*Tabla1[[#This Row],[Diferencia]]</f>
        <v>152</v>
      </c>
      <c r="K4" s="2" t="s">
        <v>47</v>
      </c>
    </row>
    <row r="5" spans="1:11" x14ac:dyDescent="0.35">
      <c r="A5" t="s">
        <v>12</v>
      </c>
      <c r="B5" t="s">
        <v>16</v>
      </c>
      <c r="C5" t="s">
        <v>8</v>
      </c>
      <c r="D5">
        <v>10814881</v>
      </c>
      <c r="E5" s="1">
        <v>7</v>
      </c>
      <c r="F5" s="1">
        <v>7.9</v>
      </c>
      <c r="G5">
        <v>2</v>
      </c>
      <c r="H5">
        <v>0</v>
      </c>
      <c r="I5">
        <f>Tabla1[[#This Row],[Unidades]]-Tabla1[[#This Row],[Material ya comprado]]</f>
        <v>2</v>
      </c>
      <c r="J5" s="1">
        <f>F5*Tabla1[[#This Row],[Diferencia]]</f>
        <v>15.8</v>
      </c>
    </row>
    <row r="6" spans="1:11" x14ac:dyDescent="0.35">
      <c r="A6" t="s">
        <v>13</v>
      </c>
      <c r="B6" t="s">
        <v>16</v>
      </c>
      <c r="C6" t="s">
        <v>8</v>
      </c>
      <c r="D6">
        <v>10814895</v>
      </c>
      <c r="E6" s="1">
        <v>7</v>
      </c>
      <c r="F6" s="1">
        <v>7.9</v>
      </c>
      <c r="G6">
        <v>1</v>
      </c>
      <c r="H6">
        <v>0</v>
      </c>
      <c r="I6">
        <f>Tabla1[[#This Row],[Unidades]]-Tabla1[[#This Row],[Material ya comprado]]</f>
        <v>1</v>
      </c>
      <c r="J6" s="1">
        <f>F6*Tabla1[[#This Row],[Diferencia]]</f>
        <v>7.9</v>
      </c>
    </row>
    <row r="7" spans="1:11" x14ac:dyDescent="0.35">
      <c r="A7" t="s">
        <v>14</v>
      </c>
      <c r="B7" t="s">
        <v>17</v>
      </c>
      <c r="D7">
        <v>10513293</v>
      </c>
      <c r="E7" s="1">
        <v>5.9</v>
      </c>
      <c r="F7" s="1">
        <v>7.5</v>
      </c>
      <c r="G7">
        <v>18</v>
      </c>
      <c r="H7">
        <v>0</v>
      </c>
      <c r="I7">
        <f>Tabla1[[#This Row],[Unidades]]-Tabla1[[#This Row],[Material ya comprado]]</f>
        <v>18</v>
      </c>
      <c r="J7" s="1">
        <f>F7*Tabla1[[#This Row],[Diferencia]]</f>
        <v>135</v>
      </c>
    </row>
    <row r="8" spans="1:11" x14ac:dyDescent="0.35">
      <c r="A8" t="s">
        <v>18</v>
      </c>
      <c r="B8" t="s">
        <v>19</v>
      </c>
      <c r="C8" t="s">
        <v>8</v>
      </c>
      <c r="D8">
        <v>10693732</v>
      </c>
      <c r="E8" s="1">
        <v>21.63</v>
      </c>
      <c r="F8" s="1">
        <v>23.64</v>
      </c>
      <c r="G8">
        <v>50</v>
      </c>
      <c r="H8">
        <v>3</v>
      </c>
      <c r="I8">
        <f>Tabla1[[#This Row],[Unidades]]-Tabla1[[#This Row],[Material ya comprado]]</f>
        <v>47</v>
      </c>
      <c r="J8" s="1">
        <f>F8*Tabla1[[#This Row],[Diferencia]]</f>
        <v>1111.08</v>
      </c>
    </row>
    <row r="9" spans="1:11" x14ac:dyDescent="0.35">
      <c r="A9" t="s">
        <v>20</v>
      </c>
      <c r="B9" t="s">
        <v>21</v>
      </c>
      <c r="C9" t="s">
        <v>8</v>
      </c>
      <c r="D9">
        <v>10036131</v>
      </c>
      <c r="E9" s="1">
        <v>32.9</v>
      </c>
      <c r="F9" s="1">
        <v>15.07</v>
      </c>
      <c r="G9">
        <v>3</v>
      </c>
      <c r="H9">
        <v>0</v>
      </c>
      <c r="I9">
        <f>Tabla1[[#This Row],[Unidades]]-Tabla1[[#This Row],[Material ya comprado]]</f>
        <v>3</v>
      </c>
      <c r="J9" s="1">
        <f>F9*Tabla1[[#This Row],[Diferencia]]</f>
        <v>45.21</v>
      </c>
    </row>
    <row r="10" spans="1:11" x14ac:dyDescent="0.35">
      <c r="A10" t="s">
        <v>23</v>
      </c>
      <c r="B10" t="s">
        <v>22</v>
      </c>
      <c r="D10">
        <v>10158575</v>
      </c>
      <c r="E10" s="1">
        <v>9.8000000000000007</v>
      </c>
      <c r="F10" s="1">
        <v>11.9</v>
      </c>
      <c r="G10">
        <v>1</v>
      </c>
      <c r="H10">
        <v>0</v>
      </c>
      <c r="I10">
        <f>Tabla1[[#This Row],[Unidades]]-Tabla1[[#This Row],[Material ya comprado]]</f>
        <v>1</v>
      </c>
      <c r="J10" s="1">
        <f>F10*Tabla1[[#This Row],[Diferencia]]</f>
        <v>11.9</v>
      </c>
      <c r="K10" s="2" t="s">
        <v>48</v>
      </c>
    </row>
    <row r="11" spans="1:11" x14ac:dyDescent="0.35">
      <c r="A11" t="s">
        <v>24</v>
      </c>
      <c r="B11" t="s">
        <v>25</v>
      </c>
      <c r="C11" t="s">
        <v>8</v>
      </c>
      <c r="D11">
        <v>10834474</v>
      </c>
      <c r="E11" s="1">
        <v>240</v>
      </c>
      <c r="F11" s="1">
        <v>0</v>
      </c>
      <c r="G11">
        <v>1</v>
      </c>
      <c r="H11">
        <v>0</v>
      </c>
      <c r="I11">
        <f>Tabla1[[#This Row],[Unidades]]-Tabla1[[#This Row],[Material ya comprado]]</f>
        <v>1</v>
      </c>
      <c r="J11" s="1">
        <f>F11*Tabla1[[#This Row],[Diferencia]]</f>
        <v>0</v>
      </c>
    </row>
    <row r="12" spans="1:11" x14ac:dyDescent="0.35">
      <c r="A12" t="s">
        <v>26</v>
      </c>
      <c r="B12" t="s">
        <v>27</v>
      </c>
      <c r="C12" t="s">
        <v>8</v>
      </c>
      <c r="D12">
        <v>10424393</v>
      </c>
      <c r="E12" s="1">
        <v>39</v>
      </c>
      <c r="F12" s="1">
        <v>0</v>
      </c>
      <c r="G12">
        <v>1</v>
      </c>
      <c r="H12">
        <v>0</v>
      </c>
      <c r="I12">
        <f>Tabla1[[#This Row],[Unidades]]-Tabla1[[#This Row],[Material ya comprado]]</f>
        <v>1</v>
      </c>
      <c r="J12" s="1">
        <f>F12*Tabla1[[#This Row],[Diferencia]]</f>
        <v>0</v>
      </c>
    </row>
    <row r="13" spans="1:11" x14ac:dyDescent="0.35">
      <c r="A13" t="s">
        <v>28</v>
      </c>
      <c r="B13" t="s">
        <v>8</v>
      </c>
      <c r="C13" t="s">
        <v>8</v>
      </c>
      <c r="D13">
        <v>10690183</v>
      </c>
      <c r="E13" s="1">
        <v>179</v>
      </c>
      <c r="F13" s="1">
        <v>0</v>
      </c>
      <c r="G13">
        <v>1</v>
      </c>
      <c r="H13">
        <v>0</v>
      </c>
      <c r="I13">
        <f>Tabla1[[#This Row],[Unidades]]-Tabla1[[#This Row],[Material ya comprado]]</f>
        <v>1</v>
      </c>
      <c r="J13" s="1">
        <f>F13*Tabla1[[#This Row],[Diferencia]]</f>
        <v>0</v>
      </c>
    </row>
    <row r="14" spans="1:11" x14ac:dyDescent="0.35">
      <c r="A14" t="s">
        <v>28</v>
      </c>
      <c r="B14" t="s">
        <v>8</v>
      </c>
      <c r="C14" t="s">
        <v>8</v>
      </c>
      <c r="D14">
        <v>25023850</v>
      </c>
      <c r="E14" s="1">
        <v>179</v>
      </c>
      <c r="F14" s="1">
        <v>199</v>
      </c>
      <c r="G14">
        <v>1</v>
      </c>
      <c r="H14">
        <v>0</v>
      </c>
      <c r="I14">
        <f>Tabla1[[#This Row],[Unidades]]-Tabla1[[#This Row],[Material ya comprado]]</f>
        <v>1</v>
      </c>
      <c r="J14" s="1">
        <f>F14*Tabla1[[#This Row],[Diferencia]]</f>
        <v>199</v>
      </c>
    </row>
    <row r="15" spans="1:11" x14ac:dyDescent="0.35">
      <c r="A15" t="s">
        <v>29</v>
      </c>
      <c r="B15" t="s">
        <v>8</v>
      </c>
      <c r="C15" t="s">
        <v>8</v>
      </c>
      <c r="D15">
        <v>10545724</v>
      </c>
      <c r="E15" s="1">
        <v>29.95</v>
      </c>
      <c r="F15" s="1">
        <v>0</v>
      </c>
      <c r="G15">
        <v>1</v>
      </c>
      <c r="H15">
        <v>0</v>
      </c>
      <c r="I15">
        <f>Tabla1[[#This Row],[Unidades]]-Tabla1[[#This Row],[Material ya comprado]]</f>
        <v>1</v>
      </c>
      <c r="J15" s="1">
        <f>F15*Tabla1[[#This Row],[Diferencia]]</f>
        <v>0</v>
      </c>
    </row>
    <row r="16" spans="1:11" x14ac:dyDescent="0.35">
      <c r="A16" t="s">
        <v>50</v>
      </c>
      <c r="B16" t="s">
        <v>8</v>
      </c>
      <c r="C16" t="s">
        <v>8</v>
      </c>
      <c r="D16">
        <v>25058859</v>
      </c>
      <c r="E16" s="1">
        <v>41.95</v>
      </c>
      <c r="F16" s="1">
        <v>41.95</v>
      </c>
      <c r="G16">
        <v>1</v>
      </c>
      <c r="H16">
        <v>0</v>
      </c>
      <c r="I16" s="3">
        <f>Tabla1[[#This Row],[Unidades]]-Tabla1[[#This Row],[Material ya comprado]]</f>
        <v>1</v>
      </c>
      <c r="J16" s="1">
        <f>F16*Tabla1[[#This Row],[Diferencia]]</f>
        <v>41.95</v>
      </c>
    </row>
    <row r="17" spans="1:10" x14ac:dyDescent="0.35">
      <c r="A17" t="s">
        <v>30</v>
      </c>
      <c r="B17" t="s">
        <v>8</v>
      </c>
      <c r="C17" t="s">
        <v>8</v>
      </c>
      <c r="D17">
        <v>10529715</v>
      </c>
      <c r="E17" s="1">
        <v>6.3</v>
      </c>
      <c r="F17" s="1">
        <v>8.15</v>
      </c>
      <c r="G17">
        <v>1</v>
      </c>
      <c r="H17">
        <v>0</v>
      </c>
      <c r="I17">
        <f>Tabla1[[#This Row],[Unidades]]-Tabla1[[#This Row],[Material ya comprado]]</f>
        <v>1</v>
      </c>
      <c r="J17" s="1">
        <f>F17*Tabla1[[#This Row],[Diferencia]]</f>
        <v>8.15</v>
      </c>
    </row>
    <row r="18" spans="1:10" x14ac:dyDescent="0.35">
      <c r="A18" t="s">
        <v>31</v>
      </c>
      <c r="B18" t="s">
        <v>8</v>
      </c>
      <c r="C18" t="s">
        <v>8</v>
      </c>
      <c r="D18">
        <v>10735354</v>
      </c>
      <c r="E18" s="1">
        <v>1.23</v>
      </c>
      <c r="F18" s="1">
        <v>1.55</v>
      </c>
      <c r="G18">
        <v>1</v>
      </c>
      <c r="H18">
        <v>0</v>
      </c>
      <c r="I18">
        <f>Tabla1[[#This Row],[Unidades]]-Tabla1[[#This Row],[Material ya comprado]]</f>
        <v>1</v>
      </c>
      <c r="J18" s="1">
        <f>F18*Tabla1[[#This Row],[Diferencia]]</f>
        <v>1.55</v>
      </c>
    </row>
    <row r="19" spans="1:10" x14ac:dyDescent="0.35">
      <c r="A19" t="s">
        <v>32</v>
      </c>
      <c r="B19" t="s">
        <v>8</v>
      </c>
      <c r="C19" t="s">
        <v>8</v>
      </c>
      <c r="D19">
        <v>10438925</v>
      </c>
      <c r="E19" s="1">
        <v>9.4</v>
      </c>
      <c r="F19" s="1">
        <v>9.8000000000000007</v>
      </c>
      <c r="G19">
        <v>1</v>
      </c>
      <c r="H19">
        <v>0</v>
      </c>
      <c r="I19">
        <f>Tabla1[[#This Row],[Unidades]]-Tabla1[[#This Row],[Material ya comprado]]</f>
        <v>1</v>
      </c>
      <c r="J19" s="1">
        <f>F19*Tabla1[[#This Row],[Diferencia]]</f>
        <v>9.8000000000000007</v>
      </c>
    </row>
    <row r="20" spans="1:10" x14ac:dyDescent="0.35">
      <c r="A20" t="s">
        <v>33</v>
      </c>
      <c r="B20" t="s">
        <v>8</v>
      </c>
      <c r="C20" t="s">
        <v>8</v>
      </c>
      <c r="D20">
        <v>10108070</v>
      </c>
      <c r="E20" s="1">
        <v>0.92</v>
      </c>
      <c r="F20" s="1">
        <v>1.1499999999999999</v>
      </c>
      <c r="G20">
        <v>1</v>
      </c>
      <c r="H20">
        <v>0</v>
      </c>
      <c r="I20">
        <f>Tabla1[[#This Row],[Unidades]]-Tabla1[[#This Row],[Material ya comprado]]</f>
        <v>1</v>
      </c>
      <c r="J20" s="1">
        <f>F20*Tabla1[[#This Row],[Diferencia]]</f>
        <v>1.1499999999999999</v>
      </c>
    </row>
    <row r="21" spans="1:10" x14ac:dyDescent="0.35">
      <c r="A21" t="s">
        <v>36</v>
      </c>
      <c r="B21" t="s">
        <v>37</v>
      </c>
      <c r="C21" t="s">
        <v>8</v>
      </c>
      <c r="D21">
        <v>10687110</v>
      </c>
      <c r="E21" s="1">
        <v>18.95</v>
      </c>
      <c r="F21" s="1">
        <v>0</v>
      </c>
      <c r="G21">
        <v>3</v>
      </c>
      <c r="H21">
        <v>0</v>
      </c>
      <c r="I21">
        <f>Tabla1[[#This Row],[Unidades]]-Tabla1[[#This Row],[Material ya comprado]]</f>
        <v>3</v>
      </c>
      <c r="J21" s="1">
        <f>F21*Tabla1[[#This Row],[Diferencia]]</f>
        <v>0</v>
      </c>
    </row>
    <row r="22" spans="1:10" x14ac:dyDescent="0.35">
      <c r="A22" t="s">
        <v>49</v>
      </c>
      <c r="B22" t="s">
        <v>51</v>
      </c>
      <c r="C22" t="s">
        <v>8</v>
      </c>
      <c r="D22">
        <v>10842902</v>
      </c>
      <c r="E22" s="1">
        <v>128.80000000000001</v>
      </c>
      <c r="F22" s="1">
        <v>128.80000000000001</v>
      </c>
      <c r="G22">
        <v>1</v>
      </c>
      <c r="H22">
        <v>0</v>
      </c>
      <c r="I22" s="3">
        <f>Tabla1[[#This Row],[Unidades]]-Tabla1[[#This Row],[Material ya comprado]]</f>
        <v>1</v>
      </c>
      <c r="J22" s="1">
        <f>F22*Tabla1[[#This Row],[Diferencia]]</f>
        <v>128.80000000000001</v>
      </c>
    </row>
    <row r="23" spans="1:10" x14ac:dyDescent="0.35">
      <c r="A23" t="s">
        <v>35</v>
      </c>
      <c r="J23" s="1">
        <f>SUBTOTAL(109,Tabla1[Total])</f>
        <v>2385.2900000000004</v>
      </c>
    </row>
    <row r="24" spans="1:10" x14ac:dyDescent="0.35">
      <c r="E24" s="1"/>
      <c r="F24" s="1"/>
    </row>
    <row r="25" spans="1:10" x14ac:dyDescent="0.35">
      <c r="E25" s="1"/>
      <c r="F25" s="1"/>
    </row>
    <row r="26" spans="1:10" x14ac:dyDescent="0.35">
      <c r="A26" t="s">
        <v>9</v>
      </c>
      <c r="B26" t="s">
        <v>10</v>
      </c>
      <c r="E26" s="1"/>
      <c r="F26" s="1"/>
    </row>
    <row r="27" spans="1:10" x14ac:dyDescent="0.35">
      <c r="A27" t="s">
        <v>11</v>
      </c>
      <c r="B27" t="s">
        <v>34</v>
      </c>
      <c r="E27" s="1"/>
      <c r="F27" s="1"/>
    </row>
    <row r="28" spans="1:10" x14ac:dyDescent="0.35">
      <c r="E28" s="1"/>
      <c r="F28" s="1"/>
    </row>
    <row r="29" spans="1:10" x14ac:dyDescent="0.35">
      <c r="A29" t="s">
        <v>38</v>
      </c>
      <c r="B29">
        <v>93.23</v>
      </c>
      <c r="E29" s="1"/>
      <c r="F29" s="1"/>
    </row>
    <row r="30" spans="1:10" x14ac:dyDescent="0.35">
      <c r="A30" t="s">
        <v>39</v>
      </c>
      <c r="E30" s="1"/>
      <c r="F30" s="1"/>
    </row>
    <row r="31" spans="1:10" x14ac:dyDescent="0.35">
      <c r="E31" s="1"/>
      <c r="F31" s="1"/>
    </row>
    <row r="32" spans="1:10" x14ac:dyDescent="0.35">
      <c r="E32" s="1"/>
      <c r="F32" s="1"/>
    </row>
    <row r="33" spans="5:6" x14ac:dyDescent="0.35">
      <c r="E33" s="1"/>
      <c r="F33" s="1"/>
    </row>
    <row r="34" spans="5:6" x14ac:dyDescent="0.35">
      <c r="E34" s="1"/>
      <c r="F34" s="1"/>
    </row>
    <row r="35" spans="5:6" x14ac:dyDescent="0.35">
      <c r="E35" s="1"/>
      <c r="F35" s="1"/>
    </row>
    <row r="36" spans="5:6" x14ac:dyDescent="0.35">
      <c r="E36" s="1"/>
      <c r="F36" s="1"/>
    </row>
    <row r="37" spans="5:6" x14ac:dyDescent="0.35">
      <c r="E37" s="1"/>
      <c r="F37" s="1"/>
    </row>
    <row r="38" spans="5:6" x14ac:dyDescent="0.35">
      <c r="E38" s="1"/>
      <c r="F38" s="1"/>
    </row>
    <row r="39" spans="5:6" x14ac:dyDescent="0.35">
      <c r="E39" s="1"/>
      <c r="F39" s="1"/>
    </row>
    <row r="40" spans="5:6" x14ac:dyDescent="0.35">
      <c r="E40" s="1"/>
      <c r="F40" s="1"/>
    </row>
    <row r="41" spans="5:6" x14ac:dyDescent="0.35">
      <c r="E41" s="1"/>
      <c r="F41" s="1"/>
    </row>
    <row r="42" spans="5:6" x14ac:dyDescent="0.35">
      <c r="E42" s="1"/>
      <c r="F42" s="1"/>
    </row>
  </sheetData>
  <hyperlinks>
    <hyperlink ref="K2" r:id="rId1" xr:uid="{4DAC335D-E616-48F5-ACAE-05CC07611D35}"/>
    <hyperlink ref="K3" r:id="rId2" xr:uid="{DB67F85C-8B8B-430D-9F2B-D0448E292F3C}"/>
    <hyperlink ref="K4" r:id="rId3" xr:uid="{6C07CD6A-F097-4DBA-85BA-9069E7ADD6C1}"/>
    <hyperlink ref="K10" r:id="rId4" xr:uid="{8E5C53F5-4DEB-4981-92A1-EFE7C354B427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ALLFUNDS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Bordas Cartagena</dc:creator>
  <cp:lastModifiedBy>Carlos Bordas Cartagena</cp:lastModifiedBy>
  <dcterms:created xsi:type="dcterms:W3CDTF">2025-09-15T10:33:49Z</dcterms:created>
  <dcterms:modified xsi:type="dcterms:W3CDTF">2025-09-15T12:42:21Z</dcterms:modified>
</cp:coreProperties>
</file>